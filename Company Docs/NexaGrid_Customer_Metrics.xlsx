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DELL\Desktop\DD - Copilot\Data\"/>
    </mc:Choice>
  </mc:AlternateContent>
  <xr:revisionPtr revIDLastSave="0" documentId="13_ncr:1_{315AF5B0-7F8E-4D7E-A33C-A98E996DC99A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Customer Overview" sheetId="1" r:id="rId1"/>
    <sheet name="Monthly Metrics" sheetId="2" r:id="rId2"/>
    <sheet name="Customer Concentration" sheetId="3" r:id="rId3"/>
    <sheet name="Customer Segmentatio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" i="2" l="1"/>
  <c r="B5" i="2" s="1"/>
  <c r="B6" i="2" s="1"/>
  <c r="B7" i="2" s="1"/>
  <c r="B8" i="2" s="1"/>
  <c r="B9" i="2" s="1"/>
  <c r="B10" i="2" s="1"/>
  <c r="B11" i="2" s="1"/>
  <c r="B12" i="2" s="1"/>
  <c r="B13" i="2" s="1"/>
  <c r="B3" i="2"/>
  <c r="D6" i="4"/>
  <c r="D3" i="4"/>
  <c r="D4" i="4"/>
  <c r="D5" i="4"/>
  <c r="D2" i="4"/>
  <c r="D3" i="3"/>
  <c r="D4" i="3"/>
  <c r="D5" i="3"/>
  <c r="D6" i="3"/>
  <c r="D7" i="3"/>
  <c r="D8" i="3"/>
  <c r="D9" i="3"/>
  <c r="D10" i="3"/>
  <c r="D11" i="3"/>
  <c r="D2" i="3"/>
</calcChain>
</file>

<file path=xl/sharedStrings.xml><?xml version="1.0" encoding="utf-8"?>
<sst xmlns="http://schemas.openxmlformats.org/spreadsheetml/2006/main" count="73" uniqueCount="56">
  <si>
    <t>NexaGrid Technologies Pvt. Ltd.</t>
  </si>
  <si>
    <t>Customer &amp; Operating Metrics — FY25</t>
  </si>
  <si>
    <t>Metric</t>
  </si>
  <si>
    <t>FY23</t>
  </si>
  <si>
    <t>FY24</t>
  </si>
  <si>
    <t>FY25</t>
  </si>
  <si>
    <t>Active Customers</t>
  </si>
  <si>
    <t>ARR (₹ Cr)</t>
  </si>
  <si>
    <t>Customer Churn</t>
  </si>
  <si>
    <t>NRR</t>
  </si>
  <si>
    <t>CAC (₹ Lakh)</t>
  </si>
  <si>
    <t>Average Contract Value (₹ Lakh)</t>
  </si>
  <si>
    <t>Enterprise Customers</t>
  </si>
  <si>
    <t>Mid-Market Customers</t>
  </si>
  <si>
    <t>Month</t>
  </si>
  <si>
    <t>New Customers</t>
  </si>
  <si>
    <t>Churned Customers</t>
  </si>
  <si>
    <t>Customer</t>
  </si>
  <si>
    <t>Industry</t>
  </si>
  <si>
    <t>% of Total ARR</t>
  </si>
  <si>
    <t>Customer A</t>
  </si>
  <si>
    <t>Automotive Components</t>
  </si>
  <si>
    <t>Customer B</t>
  </si>
  <si>
    <t>Industrial Equipment</t>
  </si>
  <si>
    <t>Customer C</t>
  </si>
  <si>
    <t>Specialty Chemicals</t>
  </si>
  <si>
    <t>Customer D</t>
  </si>
  <si>
    <t>Customer E</t>
  </si>
  <si>
    <t>Customer F</t>
  </si>
  <si>
    <t>Customer G</t>
  </si>
  <si>
    <t>Customer H</t>
  </si>
  <si>
    <t>Customer I</t>
  </si>
  <si>
    <t>Customer J</t>
  </si>
  <si>
    <t>Value</t>
  </si>
  <si>
    <t>Total ARR</t>
  </si>
  <si>
    <t>Top 10 Customers ARR</t>
  </si>
  <si>
    <t>₹7.44 Cr</t>
  </si>
  <si>
    <t>Top 10 Customer Concentration</t>
  </si>
  <si>
    <t>Segment</t>
  </si>
  <si>
    <t>Customers</t>
  </si>
  <si>
    <t>Share of ARR</t>
  </si>
  <si>
    <t>Other Manufacturing</t>
  </si>
  <si>
    <t>Total</t>
  </si>
  <si>
    <t>Operating Definitions</t>
  </si>
  <si>
    <r>
      <t>Active Customer:</t>
    </r>
    <r>
      <rPr>
        <sz val="11"/>
        <color theme="1"/>
        <rFont val="Calibri"/>
        <family val="2"/>
        <scheme val="minor"/>
      </rPr>
      <t xml:space="preserve"> A customer with an active paid subscription during the reporting period.</t>
    </r>
  </si>
  <si>
    <r>
      <t>Enterprise Customer:</t>
    </r>
    <r>
      <rPr>
        <sz val="11"/>
        <color theme="1"/>
        <rFont val="Calibri"/>
        <family val="2"/>
        <scheme val="minor"/>
      </rPr>
      <t xml:space="preserve"> Customer account classified under NexaGrid's enterprise segment based on contract value and account size.</t>
    </r>
  </si>
  <si>
    <r>
      <t>ARR:</t>
    </r>
    <r>
      <rPr>
        <sz val="11"/>
        <color theme="1"/>
        <rFont val="Calibri"/>
        <family val="2"/>
        <scheme val="minor"/>
      </rPr>
      <t xml:space="preserve"> Annualized recurring subscription revenue at the end of the reporting period.</t>
    </r>
  </si>
  <si>
    <t>Item</t>
  </si>
  <si>
    <t>Status</t>
  </si>
  <si>
    <t>Customer count reconciled to operating records</t>
  </si>
  <si>
    <t>Yes</t>
  </si>
  <si>
    <t>ARR reconciled to financial model</t>
  </si>
  <si>
    <t>Customer definitions documented</t>
  </si>
  <si>
    <t>Investor presentation customer count</t>
  </si>
  <si>
    <t>Requires reconciliation</t>
  </si>
  <si>
    <t>Data Quality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</si>
</sst>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horizontal="right" vertical="center" wrapText="1"/>
    </xf>
    <xf numFmtId="9" fontId="0" fillId="0" borderId="0" xfId="0" applyNumberFormat="1" applyAlignment="1">
      <alignment horizontal="right" vertical="center" wrapText="1"/>
    </xf>
    <xf numFmtId="17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10" fontId="1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workbookViewId="0">
      <selection activeCell="E16" sqref="E16"/>
    </sheetView>
  </sheetViews>
  <sheetFormatPr defaultRowHeight="15" x14ac:dyDescent="0.25"/>
  <cols>
    <col min="1" max="1" width="32.7109375" customWidth="1"/>
    <col min="4" max="4" width="13.140625" customWidth="1"/>
  </cols>
  <sheetData>
    <row r="1" spans="1:4" ht="18" x14ac:dyDescent="0.25">
      <c r="A1" s="1" t="s">
        <v>0</v>
      </c>
    </row>
    <row r="3" spans="1:4" ht="18" x14ac:dyDescent="0.25">
      <c r="A3" s="1" t="s">
        <v>1</v>
      </c>
    </row>
    <row r="4" spans="1:4" x14ac:dyDescent="0.25">
      <c r="A4" s="2" t="s">
        <v>2</v>
      </c>
      <c r="B4" s="4" t="s">
        <v>3</v>
      </c>
      <c r="C4" s="4" t="s">
        <v>4</v>
      </c>
      <c r="D4" s="4" t="s">
        <v>5</v>
      </c>
    </row>
    <row r="5" spans="1:4" ht="45" x14ac:dyDescent="0.25">
      <c r="A5" s="5" t="s">
        <v>6</v>
      </c>
      <c r="B5" s="3">
        <v>42</v>
      </c>
      <c r="C5" s="3">
        <v>86</v>
      </c>
      <c r="D5" s="3">
        <v>143</v>
      </c>
    </row>
    <row r="6" spans="1:4" x14ac:dyDescent="0.25">
      <c r="A6" s="5" t="s">
        <v>7</v>
      </c>
      <c r="B6" s="3">
        <v>5.4</v>
      </c>
      <c r="C6" s="3">
        <v>10.199999999999999</v>
      </c>
      <c r="D6" s="3">
        <v>18.899999999999999</v>
      </c>
    </row>
    <row r="7" spans="1:4" ht="30" x14ac:dyDescent="0.25">
      <c r="A7" s="5" t="s">
        <v>8</v>
      </c>
      <c r="B7" s="6">
        <v>8.2000000000000003E-2</v>
      </c>
      <c r="C7" s="6">
        <v>7.0999999999999994E-2</v>
      </c>
      <c r="D7" s="6">
        <v>6.4000000000000001E-2</v>
      </c>
    </row>
    <row r="8" spans="1:4" x14ac:dyDescent="0.25">
      <c r="A8" s="5" t="s">
        <v>9</v>
      </c>
      <c r="B8" s="7">
        <v>1.08</v>
      </c>
      <c r="C8" s="7">
        <v>1.1299999999999999</v>
      </c>
      <c r="D8" s="7">
        <v>1.18</v>
      </c>
    </row>
    <row r="9" spans="1:4" x14ac:dyDescent="0.25">
      <c r="A9" s="5" t="s">
        <v>10</v>
      </c>
      <c r="B9" s="3">
        <v>3.2</v>
      </c>
      <c r="C9" s="3">
        <v>3</v>
      </c>
      <c r="D9" s="3">
        <v>2.8</v>
      </c>
    </row>
    <row r="10" spans="1:4" x14ac:dyDescent="0.25">
      <c r="A10" s="5" t="s">
        <v>11</v>
      </c>
      <c r="B10" s="3">
        <v>12.9</v>
      </c>
      <c r="C10" s="3">
        <v>13.8</v>
      </c>
      <c r="D10" s="3">
        <v>15.1</v>
      </c>
    </row>
    <row r="11" spans="1:4" ht="60" x14ac:dyDescent="0.25">
      <c r="A11" s="5" t="s">
        <v>12</v>
      </c>
      <c r="B11" s="3">
        <v>38</v>
      </c>
      <c r="C11" s="3">
        <v>78</v>
      </c>
      <c r="D11" s="3">
        <v>132</v>
      </c>
    </row>
    <row r="12" spans="1:4" ht="60" x14ac:dyDescent="0.25">
      <c r="A12" s="5" t="s">
        <v>13</v>
      </c>
      <c r="B12" s="3">
        <v>4</v>
      </c>
      <c r="C12" s="3">
        <v>8</v>
      </c>
      <c r="D12" s="3">
        <v>11</v>
      </c>
    </row>
    <row r="16" spans="1:4" x14ac:dyDescent="0.25">
      <c r="A16" t="s">
        <v>55</v>
      </c>
    </row>
    <row r="17" spans="1:2" x14ac:dyDescent="0.25">
      <c r="A17" s="2" t="s">
        <v>47</v>
      </c>
      <c r="B17" s="2" t="s">
        <v>48</v>
      </c>
    </row>
    <row r="18" spans="1:2" ht="45" x14ac:dyDescent="0.25">
      <c r="A18" s="5" t="s">
        <v>49</v>
      </c>
      <c r="B18" s="5" t="s">
        <v>50</v>
      </c>
    </row>
    <row r="19" spans="1:2" ht="30" x14ac:dyDescent="0.25">
      <c r="A19" s="5" t="s">
        <v>51</v>
      </c>
      <c r="B19" s="5" t="s">
        <v>50</v>
      </c>
    </row>
    <row r="20" spans="1:2" x14ac:dyDescent="0.25">
      <c r="A20" s="5" t="s">
        <v>52</v>
      </c>
      <c r="B20" s="5" t="s">
        <v>50</v>
      </c>
    </row>
    <row r="21" spans="1:2" ht="45" x14ac:dyDescent="0.25">
      <c r="A21" s="5" t="s">
        <v>53</v>
      </c>
      <c r="B21" s="5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F8B8E-E224-4E14-AA88-A8666C60BE7F}">
  <dimension ref="A1:E13"/>
  <sheetViews>
    <sheetView workbookViewId="0">
      <selection activeCell="B5" sqref="B5"/>
    </sheetView>
  </sheetViews>
  <sheetFormatPr defaultRowHeight="15" x14ac:dyDescent="0.25"/>
  <sheetData>
    <row r="1" spans="1:5" ht="45" x14ac:dyDescent="0.25">
      <c r="A1" s="2" t="s">
        <v>14</v>
      </c>
      <c r="B1" s="4" t="s">
        <v>6</v>
      </c>
      <c r="C1" s="4" t="s">
        <v>15</v>
      </c>
      <c r="D1" s="4" t="s">
        <v>16</v>
      </c>
      <c r="E1" s="4" t="s">
        <v>7</v>
      </c>
    </row>
    <row r="2" spans="1:5" x14ac:dyDescent="0.25">
      <c r="A2" s="8">
        <v>45748</v>
      </c>
      <c r="B2" s="3">
        <v>101</v>
      </c>
      <c r="C2" s="3">
        <v>5</v>
      </c>
      <c r="D2" s="3">
        <v>2</v>
      </c>
      <c r="E2" s="3">
        <v>12.8</v>
      </c>
    </row>
    <row r="3" spans="1:5" x14ac:dyDescent="0.25">
      <c r="A3" s="8">
        <v>45778</v>
      </c>
      <c r="B3" s="3">
        <f>B2+C3-D3</f>
        <v>104</v>
      </c>
      <c r="C3" s="3">
        <v>4</v>
      </c>
      <c r="D3" s="3">
        <v>1</v>
      </c>
      <c r="E3" s="3">
        <v>13.1</v>
      </c>
    </row>
    <row r="4" spans="1:5" x14ac:dyDescent="0.25">
      <c r="A4" s="8">
        <v>45809</v>
      </c>
      <c r="B4" s="3">
        <f t="shared" ref="B4:B13" si="0">B3+C4-D4</f>
        <v>108</v>
      </c>
      <c r="C4" s="3">
        <v>5</v>
      </c>
      <c r="D4" s="3">
        <v>1</v>
      </c>
      <c r="E4" s="3">
        <v>13.6</v>
      </c>
    </row>
    <row r="5" spans="1:5" x14ac:dyDescent="0.25">
      <c r="A5" s="8">
        <v>45839</v>
      </c>
      <c r="B5" s="3">
        <f t="shared" si="0"/>
        <v>111</v>
      </c>
      <c r="C5" s="3">
        <v>4</v>
      </c>
      <c r="D5" s="3">
        <v>1</v>
      </c>
      <c r="E5" s="3">
        <v>14</v>
      </c>
    </row>
    <row r="6" spans="1:5" x14ac:dyDescent="0.25">
      <c r="A6" s="8">
        <v>45870</v>
      </c>
      <c r="B6" s="3">
        <f t="shared" si="0"/>
        <v>114</v>
      </c>
      <c r="C6" s="3">
        <v>4</v>
      </c>
      <c r="D6" s="3">
        <v>1</v>
      </c>
      <c r="E6" s="3">
        <v>14.5</v>
      </c>
    </row>
    <row r="7" spans="1:5" x14ac:dyDescent="0.25">
      <c r="A7" s="8">
        <v>45901</v>
      </c>
      <c r="B7" s="3">
        <f t="shared" si="0"/>
        <v>117</v>
      </c>
      <c r="C7" s="3">
        <v>4</v>
      </c>
      <c r="D7" s="3">
        <v>1</v>
      </c>
      <c r="E7" s="3">
        <v>15</v>
      </c>
    </row>
    <row r="8" spans="1:5" x14ac:dyDescent="0.25">
      <c r="A8" s="8">
        <v>45931</v>
      </c>
      <c r="B8" s="3">
        <f t="shared" si="0"/>
        <v>121</v>
      </c>
      <c r="C8" s="3">
        <v>5</v>
      </c>
      <c r="D8" s="3">
        <v>1</v>
      </c>
      <c r="E8" s="3">
        <v>15.5</v>
      </c>
    </row>
    <row r="9" spans="1:5" x14ac:dyDescent="0.25">
      <c r="A9" s="8">
        <v>45962</v>
      </c>
      <c r="B9" s="3">
        <f t="shared" si="0"/>
        <v>125</v>
      </c>
      <c r="C9" s="3">
        <v>5</v>
      </c>
      <c r="D9" s="3">
        <v>1</v>
      </c>
      <c r="E9" s="3">
        <v>16.100000000000001</v>
      </c>
    </row>
    <row r="10" spans="1:5" x14ac:dyDescent="0.25">
      <c r="A10" s="8">
        <v>45992</v>
      </c>
      <c r="B10" s="3">
        <f t="shared" si="0"/>
        <v>129</v>
      </c>
      <c r="C10" s="3">
        <v>5</v>
      </c>
      <c r="D10" s="3">
        <v>1</v>
      </c>
      <c r="E10" s="3">
        <v>16.8</v>
      </c>
    </row>
    <row r="11" spans="1:5" x14ac:dyDescent="0.25">
      <c r="A11" s="8">
        <v>46023</v>
      </c>
      <c r="B11" s="3">
        <f t="shared" si="0"/>
        <v>133</v>
      </c>
      <c r="C11" s="3">
        <v>5</v>
      </c>
      <c r="D11" s="3">
        <v>1</v>
      </c>
      <c r="E11" s="3">
        <v>17.399999999999999</v>
      </c>
    </row>
    <row r="12" spans="1:5" x14ac:dyDescent="0.25">
      <c r="A12" s="8">
        <v>46054</v>
      </c>
      <c r="B12" s="3">
        <f t="shared" si="0"/>
        <v>138</v>
      </c>
      <c r="C12" s="3">
        <v>6</v>
      </c>
      <c r="D12" s="3">
        <v>1</v>
      </c>
      <c r="E12" s="3">
        <v>18.2</v>
      </c>
    </row>
    <row r="13" spans="1:5" x14ac:dyDescent="0.25">
      <c r="A13" s="8">
        <v>46082</v>
      </c>
      <c r="B13" s="3">
        <f t="shared" si="0"/>
        <v>143</v>
      </c>
      <c r="C13" s="3">
        <v>6</v>
      </c>
      <c r="D13" s="3">
        <v>1</v>
      </c>
      <c r="E13" s="3">
        <v>18.899999999999999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EAE30-C00A-43F8-9AC7-65FA94FA7D62}">
  <dimension ref="A1:D16"/>
  <sheetViews>
    <sheetView tabSelected="1" workbookViewId="0">
      <selection activeCell="D2" sqref="D2"/>
    </sheetView>
  </sheetViews>
  <sheetFormatPr defaultRowHeight="15" x14ac:dyDescent="0.25"/>
  <cols>
    <col min="1" max="1" width="20.5703125" customWidth="1"/>
    <col min="2" max="2" width="25.7109375" customWidth="1"/>
    <col min="4" max="4" width="14.7109375" customWidth="1"/>
  </cols>
  <sheetData>
    <row r="1" spans="1:4" ht="30" x14ac:dyDescent="0.25">
      <c r="A1" s="2" t="s">
        <v>17</v>
      </c>
      <c r="B1" s="2" t="s">
        <v>18</v>
      </c>
      <c r="C1" s="4" t="s">
        <v>7</v>
      </c>
      <c r="D1" s="4" t="s">
        <v>19</v>
      </c>
    </row>
    <row r="2" spans="1:4" x14ac:dyDescent="0.25">
      <c r="A2" s="5" t="s">
        <v>20</v>
      </c>
      <c r="B2" s="5" t="s">
        <v>21</v>
      </c>
      <c r="C2" s="3">
        <v>1.45</v>
      </c>
      <c r="D2" s="6">
        <f>C2/$B$14</f>
        <v>7.6719576719576729E-2</v>
      </c>
    </row>
    <row r="3" spans="1:4" x14ac:dyDescent="0.25">
      <c r="A3" s="5" t="s">
        <v>22</v>
      </c>
      <c r="B3" s="5" t="s">
        <v>23</v>
      </c>
      <c r="C3" s="3">
        <v>1.2</v>
      </c>
      <c r="D3" s="6">
        <f t="shared" ref="D3:D11" si="0">C3/$B$14</f>
        <v>6.3492063492063489E-2</v>
      </c>
    </row>
    <row r="4" spans="1:4" x14ac:dyDescent="0.25">
      <c r="A4" s="5" t="s">
        <v>24</v>
      </c>
      <c r="B4" s="5" t="s">
        <v>25</v>
      </c>
      <c r="C4" s="3">
        <v>0.95</v>
      </c>
      <c r="D4" s="6">
        <f t="shared" si="0"/>
        <v>5.0264550264550269E-2</v>
      </c>
    </row>
    <row r="5" spans="1:4" x14ac:dyDescent="0.25">
      <c r="A5" s="5" t="s">
        <v>26</v>
      </c>
      <c r="B5" s="5" t="s">
        <v>21</v>
      </c>
      <c r="C5" s="3">
        <v>0.78</v>
      </c>
      <c r="D5" s="6">
        <f t="shared" si="0"/>
        <v>4.1269841269841276E-2</v>
      </c>
    </row>
    <row r="6" spans="1:4" x14ac:dyDescent="0.25">
      <c r="A6" s="5" t="s">
        <v>27</v>
      </c>
      <c r="B6" s="5" t="s">
        <v>23</v>
      </c>
      <c r="C6" s="3">
        <v>0.65</v>
      </c>
      <c r="D6" s="6">
        <f t="shared" si="0"/>
        <v>3.4391534391534397E-2</v>
      </c>
    </row>
    <row r="7" spans="1:4" x14ac:dyDescent="0.25">
      <c r="A7" s="5" t="s">
        <v>28</v>
      </c>
      <c r="B7" s="5" t="s">
        <v>25</v>
      </c>
      <c r="C7" s="3">
        <v>0.57999999999999996</v>
      </c>
      <c r="D7" s="6">
        <f t="shared" si="0"/>
        <v>3.0687830687830688E-2</v>
      </c>
    </row>
    <row r="8" spans="1:4" x14ac:dyDescent="0.25">
      <c r="A8" s="5" t="s">
        <v>29</v>
      </c>
      <c r="B8" s="5" t="s">
        <v>23</v>
      </c>
      <c r="C8" s="3">
        <v>0.52</v>
      </c>
      <c r="D8" s="6">
        <f t="shared" si="0"/>
        <v>2.7513227513227517E-2</v>
      </c>
    </row>
    <row r="9" spans="1:4" x14ac:dyDescent="0.25">
      <c r="A9" s="5" t="s">
        <v>30</v>
      </c>
      <c r="B9" s="5" t="s">
        <v>21</v>
      </c>
      <c r="C9" s="3">
        <v>0.48</v>
      </c>
      <c r="D9" s="6">
        <f t="shared" si="0"/>
        <v>2.5396825396825397E-2</v>
      </c>
    </row>
    <row r="10" spans="1:4" x14ac:dyDescent="0.25">
      <c r="A10" s="5" t="s">
        <v>31</v>
      </c>
      <c r="B10" s="5" t="s">
        <v>25</v>
      </c>
      <c r="C10" s="3">
        <v>0.43</v>
      </c>
      <c r="D10" s="6">
        <f t="shared" si="0"/>
        <v>2.2751322751322751E-2</v>
      </c>
    </row>
    <row r="11" spans="1:4" x14ac:dyDescent="0.25">
      <c r="A11" s="5" t="s">
        <v>32</v>
      </c>
      <c r="B11" s="5" t="s">
        <v>23</v>
      </c>
      <c r="C11" s="3">
        <v>0.4</v>
      </c>
      <c r="D11" s="6">
        <f t="shared" si="0"/>
        <v>2.1164021164021166E-2</v>
      </c>
    </row>
    <row r="13" spans="1:4" x14ac:dyDescent="0.25">
      <c r="A13" s="2" t="s">
        <v>2</v>
      </c>
      <c r="B13" s="4" t="s">
        <v>33</v>
      </c>
    </row>
    <row r="14" spans="1:4" x14ac:dyDescent="0.25">
      <c r="A14" s="5" t="s">
        <v>34</v>
      </c>
      <c r="B14" s="3">
        <v>18.899999999999999</v>
      </c>
    </row>
    <row r="15" spans="1:4" ht="30" x14ac:dyDescent="0.25">
      <c r="A15" s="5" t="s">
        <v>35</v>
      </c>
      <c r="B15" s="3" t="s">
        <v>36</v>
      </c>
    </row>
    <row r="16" spans="1:4" ht="30" x14ac:dyDescent="0.25">
      <c r="A16" s="5" t="s">
        <v>37</v>
      </c>
      <c r="B16" s="6">
        <v>0.39400000000000002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7FC99-7FCB-4968-B091-6DE503BEBFFE}">
  <dimension ref="A1:D15"/>
  <sheetViews>
    <sheetView workbookViewId="0">
      <selection activeCell="A9" sqref="A9:A15"/>
    </sheetView>
  </sheetViews>
  <sheetFormatPr defaultRowHeight="15" x14ac:dyDescent="0.25"/>
  <cols>
    <col min="1" max="1" width="17.85546875" customWidth="1"/>
  </cols>
  <sheetData>
    <row r="1" spans="1:4" ht="30" x14ac:dyDescent="0.25">
      <c r="A1" s="2" t="s">
        <v>38</v>
      </c>
      <c r="B1" s="4" t="s">
        <v>39</v>
      </c>
      <c r="C1" s="4" t="s">
        <v>7</v>
      </c>
      <c r="D1" s="4" t="s">
        <v>40</v>
      </c>
    </row>
    <row r="2" spans="1:4" ht="60" x14ac:dyDescent="0.25">
      <c r="A2" s="5" t="s">
        <v>21</v>
      </c>
      <c r="B2" s="3">
        <v>52</v>
      </c>
      <c r="C2" s="3">
        <v>7.1</v>
      </c>
      <c r="D2" s="6">
        <f>C2/$C$6</f>
        <v>0.3756613756613757</v>
      </c>
    </row>
    <row r="3" spans="1:4" ht="30" x14ac:dyDescent="0.25">
      <c r="A3" s="5" t="s">
        <v>23</v>
      </c>
      <c r="B3" s="3">
        <v>48</v>
      </c>
      <c r="C3" s="3">
        <v>6.3</v>
      </c>
      <c r="D3" s="6">
        <f t="shared" ref="D3:D5" si="0">C3/$C$6</f>
        <v>0.33333333333333337</v>
      </c>
    </row>
    <row r="4" spans="1:4" ht="30" x14ac:dyDescent="0.25">
      <c r="A4" s="5" t="s">
        <v>25</v>
      </c>
      <c r="B4" s="3">
        <v>32</v>
      </c>
      <c r="C4" s="3">
        <v>4.2</v>
      </c>
      <c r="D4" s="6">
        <f t="shared" si="0"/>
        <v>0.22222222222222224</v>
      </c>
    </row>
    <row r="5" spans="1:4" ht="30" x14ac:dyDescent="0.25">
      <c r="A5" s="5" t="s">
        <v>41</v>
      </c>
      <c r="B5" s="3">
        <v>11</v>
      </c>
      <c r="C5" s="3">
        <v>1.3</v>
      </c>
      <c r="D5" s="6">
        <f t="shared" si="0"/>
        <v>6.8783068783068793E-2</v>
      </c>
    </row>
    <row r="6" spans="1:4" x14ac:dyDescent="0.25">
      <c r="A6" s="9" t="s">
        <v>42</v>
      </c>
      <c r="B6" s="4">
        <v>143</v>
      </c>
      <c r="C6" s="4">
        <v>18.899999999999999</v>
      </c>
      <c r="D6" s="10">
        <f>SUM(D2:D5)</f>
        <v>1</v>
      </c>
    </row>
    <row r="9" spans="1:4" ht="18" x14ac:dyDescent="0.25">
      <c r="A9" s="1" t="s">
        <v>43</v>
      </c>
    </row>
    <row r="10" spans="1:4" x14ac:dyDescent="0.25">
      <c r="A10" s="11"/>
    </row>
    <row r="11" spans="1:4" x14ac:dyDescent="0.25">
      <c r="A11" s="12" t="s">
        <v>44</v>
      </c>
    </row>
    <row r="12" spans="1:4" x14ac:dyDescent="0.25">
      <c r="A12" s="11"/>
    </row>
    <row r="13" spans="1:4" x14ac:dyDescent="0.25">
      <c r="A13" s="12" t="s">
        <v>45</v>
      </c>
    </row>
    <row r="14" spans="1:4" x14ac:dyDescent="0.25">
      <c r="A14" s="11"/>
    </row>
    <row r="15" spans="1:4" x14ac:dyDescent="0.25">
      <c r="A15" s="1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 Overview</vt:lpstr>
      <vt:lpstr>Monthly Metrics</vt:lpstr>
      <vt:lpstr>Customer Concentration</vt:lpstr>
      <vt:lpstr>Customer Segmentation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DELL</cp:lastModifiedBy>
  <dcterms:created xsi:type="dcterms:W3CDTF">2015-06-05T18:17:20Z</dcterms:created>
  <dcterms:modified xsi:type="dcterms:W3CDTF">2026-09-04T15:52:51Z</dcterms:modified>
</cp:coreProperties>
</file>