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DD - Copilot\Data\"/>
    </mc:Choice>
  </mc:AlternateContent>
  <xr:revisionPtr revIDLastSave="0" documentId="13_ncr:1_{FBB5A17C-EBD3-4AD4-95B9-4954ED80EC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rrent Cap Table" sheetId="1" r:id="rId1"/>
    <sheet name="Transaction History" sheetId="2" r:id="rId2"/>
    <sheet name="Round 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D9" i="1"/>
  <c r="C9" i="1"/>
  <c r="D5" i="1" s="1"/>
  <c r="D7" i="1"/>
  <c r="D8" i="1"/>
  <c r="D4" i="1"/>
  <c r="D6" i="1" l="1"/>
</calcChain>
</file>

<file path=xl/sharedStrings.xml><?xml version="1.0" encoding="utf-8"?>
<sst xmlns="http://schemas.openxmlformats.org/spreadsheetml/2006/main" count="59" uniqueCount="51">
  <si>
    <t>NexaGrid Technologies Pvt. Ltd. — Fully Diluted Cap Table</t>
  </si>
  <si>
    <t>Shareholder</t>
  </si>
  <si>
    <t>Security Type</t>
  </si>
  <si>
    <t>Shares</t>
  </si>
  <si>
    <t>Ownership</t>
  </si>
  <si>
    <t>Arjun Mehta</t>
  </si>
  <si>
    <t>Founder Common</t>
  </si>
  <si>
    <t>Rhea Kapoor</t>
  </si>
  <si>
    <t>ESOP Pool</t>
  </si>
  <si>
    <t>Employee Options</t>
  </si>
  <si>
    <t>Seed Ventures Fund I</t>
  </si>
  <si>
    <t>Preferred</t>
  </si>
  <si>
    <t>Apex Angel Network</t>
  </si>
  <si>
    <t>Total</t>
  </si>
  <si>
    <t>Metric</t>
  </si>
  <si>
    <t>Value</t>
  </si>
  <si>
    <t>Institutional Investors</t>
  </si>
  <si>
    <t>Angel Investors</t>
  </si>
  <si>
    <t>Fully Diluted Shares</t>
  </si>
  <si>
    <t>Round</t>
  </si>
  <si>
    <t>Date</t>
  </si>
  <si>
    <t>Investor</t>
  </si>
  <si>
    <t>Amount (₹ Cr)</t>
  </si>
  <si>
    <t>Pre-Money Valuation (₹ Cr)</t>
  </si>
  <si>
    <t>Seed</t>
  </si>
  <si>
    <t>Angel</t>
  </si>
  <si>
    <t>Total Capital Raised to Date</t>
  </si>
  <si>
    <t>₹11.5 Cr</t>
  </si>
  <si>
    <t>Current Fundraise</t>
  </si>
  <si>
    <t>₹20 Cr</t>
  </si>
  <si>
    <t>Item</t>
  </si>
  <si>
    <t>Current Round</t>
  </si>
  <si>
    <t>Target Raise</t>
  </si>
  <si>
    <t>Instrument</t>
  </si>
  <si>
    <t>Equity</t>
  </si>
  <si>
    <t>Intended Use</t>
  </si>
  <si>
    <t>Growth Capital</t>
  </si>
  <si>
    <t>Current Status</t>
  </si>
  <si>
    <t>Fundraising</t>
  </si>
  <si>
    <t>Expected Close</t>
  </si>
  <si>
    <t>Q4 FY27</t>
  </si>
  <si>
    <t>Category</t>
  </si>
  <si>
    <t>Allocation</t>
  </si>
  <si>
    <t>Product &amp; Engineering</t>
  </si>
  <si>
    <t>Sales &amp; Marketing</t>
  </si>
  <si>
    <t>International Expansion</t>
  </si>
  <si>
    <t>Working Capital</t>
  </si>
  <si>
    <t>The ESOP pool is shown on a fully diluted basis.</t>
  </si>
  <si>
    <t>Founder ownership represents current fully diluted ownership</t>
  </si>
  <si>
    <t>after accounting for the ESOP pool.</t>
  </si>
  <si>
    <t>Founder Ownership(Fully Diluted)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</si>
</sst>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9" workbookViewId="0">
      <selection activeCell="E17" sqref="E17"/>
    </sheetView>
  </sheetViews>
  <sheetFormatPr defaultRowHeight="15" x14ac:dyDescent="0.25"/>
  <cols>
    <col min="1" max="1" width="27.85546875" customWidth="1"/>
    <col min="2" max="2" width="11.85546875" customWidth="1"/>
    <col min="3" max="3" width="14.85546875" customWidth="1"/>
    <col min="4" max="4" width="17.140625" customWidth="1"/>
    <col min="9" max="9" width="24.5703125" customWidth="1"/>
    <col min="10" max="10" width="12.2851562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ht="30" x14ac:dyDescent="0.25">
      <c r="A3" s="2" t="s">
        <v>1</v>
      </c>
      <c r="B3" s="2" t="s">
        <v>2</v>
      </c>
      <c r="C3" s="4" t="s">
        <v>3</v>
      </c>
      <c r="D3" s="4" t="s">
        <v>4</v>
      </c>
    </row>
    <row r="4" spans="1:6" ht="30" x14ac:dyDescent="0.25">
      <c r="A4" s="5" t="s">
        <v>5</v>
      </c>
      <c r="B4" s="5" t="s">
        <v>6</v>
      </c>
      <c r="C4" s="6">
        <v>3400000</v>
      </c>
      <c r="D4" s="7">
        <f>C4/$C$9</f>
        <v>0.34</v>
      </c>
    </row>
    <row r="5" spans="1:6" ht="30" x14ac:dyDescent="0.25">
      <c r="A5" s="5" t="s">
        <v>7</v>
      </c>
      <c r="B5" s="5" t="s">
        <v>6</v>
      </c>
      <c r="C5" s="6">
        <v>2600000</v>
      </c>
      <c r="D5" s="7">
        <f t="shared" ref="D5:D8" si="0">C5/$C$9</f>
        <v>0.26</v>
      </c>
    </row>
    <row r="6" spans="1:6" ht="45" x14ac:dyDescent="0.25">
      <c r="A6" s="5" t="s">
        <v>8</v>
      </c>
      <c r="B6" s="5" t="s">
        <v>9</v>
      </c>
      <c r="C6" s="6">
        <v>1000000</v>
      </c>
      <c r="D6" s="7">
        <f t="shared" si="0"/>
        <v>0.1</v>
      </c>
    </row>
    <row r="7" spans="1:6" ht="30" x14ac:dyDescent="0.25">
      <c r="A7" s="5" t="s">
        <v>10</v>
      </c>
      <c r="B7" s="5" t="s">
        <v>11</v>
      </c>
      <c r="C7" s="6">
        <v>1500000</v>
      </c>
      <c r="D7" s="7">
        <f t="shared" si="0"/>
        <v>0.15</v>
      </c>
    </row>
    <row r="8" spans="1:6" ht="30" x14ac:dyDescent="0.25">
      <c r="A8" s="5" t="s">
        <v>12</v>
      </c>
      <c r="B8" s="5" t="s">
        <v>11</v>
      </c>
      <c r="C8" s="6">
        <v>1500000</v>
      </c>
      <c r="D8" s="7">
        <f t="shared" si="0"/>
        <v>0.15</v>
      </c>
    </row>
    <row r="9" spans="1:6" x14ac:dyDescent="0.25">
      <c r="A9" s="8" t="s">
        <v>13</v>
      </c>
      <c r="B9" s="5"/>
      <c r="C9" s="9">
        <f>SUM(C4:C8)</f>
        <v>10000000</v>
      </c>
      <c r="D9" s="10">
        <f>SUM(D4:D8)</f>
        <v>1</v>
      </c>
    </row>
    <row r="11" spans="1:6" x14ac:dyDescent="0.25">
      <c r="E11" s="13"/>
    </row>
    <row r="12" spans="1:6" x14ac:dyDescent="0.25">
      <c r="A12" s="2" t="s">
        <v>14</v>
      </c>
      <c r="B12" s="4" t="s">
        <v>15</v>
      </c>
      <c r="E12" s="13"/>
    </row>
    <row r="13" spans="1:6" ht="45" x14ac:dyDescent="0.25">
      <c r="A13" s="5" t="s">
        <v>50</v>
      </c>
      <c r="B13" s="7">
        <f>SUM(D4:D5)</f>
        <v>0.60000000000000009</v>
      </c>
      <c r="E13" s="13"/>
    </row>
    <row r="14" spans="1:6" ht="30" x14ac:dyDescent="0.25">
      <c r="A14" s="5" t="s">
        <v>16</v>
      </c>
      <c r="B14" s="7">
        <v>0.15</v>
      </c>
    </row>
    <row r="15" spans="1:6" ht="30" x14ac:dyDescent="0.25">
      <c r="A15" s="5" t="s">
        <v>17</v>
      </c>
      <c r="B15" s="7">
        <v>0.15</v>
      </c>
    </row>
    <row r="16" spans="1:6" x14ac:dyDescent="0.25">
      <c r="A16" s="5" t="s">
        <v>8</v>
      </c>
      <c r="B16" s="7">
        <v>0.1</v>
      </c>
    </row>
    <row r="17" spans="1:4" ht="30" x14ac:dyDescent="0.25">
      <c r="A17" s="5" t="s">
        <v>18</v>
      </c>
      <c r="B17" s="6">
        <v>10000000</v>
      </c>
    </row>
    <row r="19" spans="1:4" x14ac:dyDescent="0.25">
      <c r="A19" s="13" t="s">
        <v>47</v>
      </c>
      <c r="B19" s="13"/>
      <c r="C19" s="13"/>
      <c r="D19" s="13"/>
    </row>
    <row r="20" spans="1:4" x14ac:dyDescent="0.25">
      <c r="A20" s="13" t="s">
        <v>48</v>
      </c>
      <c r="B20" s="13"/>
      <c r="C20" s="13"/>
      <c r="D20" s="13"/>
    </row>
    <row r="21" spans="1:4" x14ac:dyDescent="0.25">
      <c r="A21" s="13" t="s">
        <v>49</v>
      </c>
      <c r="B21" s="13"/>
      <c r="C21" s="13"/>
      <c r="D21" s="1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EFB5-21B0-4C59-BEEB-EBB9290A72BE}">
  <dimension ref="A1:E7"/>
  <sheetViews>
    <sheetView workbookViewId="0">
      <selection activeCell="D6" sqref="D6"/>
    </sheetView>
  </sheetViews>
  <sheetFormatPr defaultRowHeight="15" x14ac:dyDescent="0.25"/>
  <cols>
    <col min="1" max="1" width="21.28515625" customWidth="1"/>
    <col min="2" max="2" width="20.7109375" customWidth="1"/>
    <col min="3" max="3" width="24.85546875" customWidth="1"/>
    <col min="5" max="5" width="29.7109375" customWidth="1"/>
  </cols>
  <sheetData>
    <row r="1" spans="1:5" ht="60" x14ac:dyDescent="0.25">
      <c r="A1" s="2" t="s">
        <v>19</v>
      </c>
      <c r="B1" s="2" t="s">
        <v>20</v>
      </c>
      <c r="C1" s="2" t="s">
        <v>21</v>
      </c>
      <c r="D1" s="4" t="s">
        <v>22</v>
      </c>
      <c r="E1" s="4" t="s">
        <v>23</v>
      </c>
    </row>
    <row r="2" spans="1:5" ht="45" x14ac:dyDescent="0.25">
      <c r="A2" s="5" t="s">
        <v>24</v>
      </c>
      <c r="B2" s="11">
        <v>45078</v>
      </c>
      <c r="C2" s="5" t="s">
        <v>10</v>
      </c>
      <c r="D2" s="3">
        <v>6</v>
      </c>
      <c r="E2" s="3">
        <v>24</v>
      </c>
    </row>
    <row r="3" spans="1:5" ht="45" x14ac:dyDescent="0.25">
      <c r="A3" s="5" t="s">
        <v>25</v>
      </c>
      <c r="B3" s="11">
        <v>45323</v>
      </c>
      <c r="C3" s="5" t="s">
        <v>12</v>
      </c>
      <c r="D3" s="3">
        <v>5.5</v>
      </c>
      <c r="E3" s="3">
        <v>44</v>
      </c>
    </row>
    <row r="5" spans="1:5" x14ac:dyDescent="0.25">
      <c r="A5" s="2" t="s">
        <v>14</v>
      </c>
      <c r="B5" s="4" t="s">
        <v>15</v>
      </c>
    </row>
    <row r="6" spans="1:5" ht="60" x14ac:dyDescent="0.25">
      <c r="A6" s="5" t="s">
        <v>26</v>
      </c>
      <c r="B6" s="3" t="s">
        <v>27</v>
      </c>
    </row>
    <row r="7" spans="1:5" ht="45" x14ac:dyDescent="0.25">
      <c r="A7" s="5" t="s">
        <v>28</v>
      </c>
      <c r="B7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AF56-AA23-4C9A-99A8-3E8A08EA7F5A}">
  <dimension ref="A1:B12"/>
  <sheetViews>
    <sheetView workbookViewId="0">
      <selection activeCell="F7" sqref="F7"/>
    </sheetView>
  </sheetViews>
  <sheetFormatPr defaultRowHeight="15" x14ac:dyDescent="0.25"/>
  <cols>
    <col min="1" max="1" width="18.5703125" customWidth="1"/>
    <col min="2" max="2" width="17" customWidth="1"/>
  </cols>
  <sheetData>
    <row r="1" spans="1:2" ht="30" x14ac:dyDescent="0.25">
      <c r="A1" s="2" t="s">
        <v>30</v>
      </c>
      <c r="B1" s="4" t="s">
        <v>31</v>
      </c>
    </row>
    <row r="2" spans="1:2" ht="30" x14ac:dyDescent="0.25">
      <c r="A2" s="5" t="s">
        <v>32</v>
      </c>
      <c r="B2" s="3" t="s">
        <v>29</v>
      </c>
    </row>
    <row r="3" spans="1:2" ht="30" x14ac:dyDescent="0.25">
      <c r="A3" s="5" t="s">
        <v>33</v>
      </c>
      <c r="B3" s="3" t="s">
        <v>34</v>
      </c>
    </row>
    <row r="4" spans="1:2" ht="30" x14ac:dyDescent="0.25">
      <c r="A4" s="5" t="s">
        <v>35</v>
      </c>
      <c r="B4" s="3" t="s">
        <v>36</v>
      </c>
    </row>
    <row r="5" spans="1:2" ht="30" x14ac:dyDescent="0.25">
      <c r="A5" s="5" t="s">
        <v>37</v>
      </c>
      <c r="B5" s="3" t="s">
        <v>38</v>
      </c>
    </row>
    <row r="6" spans="1:2" ht="30" x14ac:dyDescent="0.25">
      <c r="A6" s="5" t="s">
        <v>39</v>
      </c>
      <c r="B6" s="3" t="s">
        <v>40</v>
      </c>
    </row>
    <row r="8" spans="1:2" x14ac:dyDescent="0.25">
      <c r="A8" s="2" t="s">
        <v>41</v>
      </c>
      <c r="B8" s="4" t="s">
        <v>42</v>
      </c>
    </row>
    <row r="9" spans="1:2" ht="30" x14ac:dyDescent="0.25">
      <c r="A9" s="5" t="s">
        <v>43</v>
      </c>
      <c r="B9" s="12">
        <v>0.4</v>
      </c>
    </row>
    <row r="10" spans="1:2" x14ac:dyDescent="0.25">
      <c r="A10" s="5" t="s">
        <v>44</v>
      </c>
      <c r="B10" s="12">
        <v>0.3</v>
      </c>
    </row>
    <row r="11" spans="1:2" ht="30" x14ac:dyDescent="0.25">
      <c r="A11" s="5" t="s">
        <v>45</v>
      </c>
      <c r="B11" s="12">
        <v>0.2</v>
      </c>
    </row>
    <row r="12" spans="1:2" x14ac:dyDescent="0.25">
      <c r="A12" s="5" t="s">
        <v>46</v>
      </c>
      <c r="B12" s="1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Cap Table</vt:lpstr>
      <vt:lpstr>Transaction History</vt:lpstr>
      <vt:lpstr>Round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2015-06-05T18:17:20Z</dcterms:created>
  <dcterms:modified xsi:type="dcterms:W3CDTF">2026-09-04T10:13:44Z</dcterms:modified>
</cp:coreProperties>
</file>